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Extraction 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1"/>
    </font>
  </fonts>
  <fills count="13">
    <fill>
      <patternFill/>
    </fill>
    <fill>
      <patternFill patternType="gray125"/>
    </fill>
    <fill>
      <patternFill patternType="solid">
        <fgColor rgb="002E3B4E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2C2C"/>
      </patternFill>
    </fill>
    <fill>
      <patternFill patternType="solid">
        <fgColor rgb="00D9D9D9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F5FF"/>
      </patternFill>
    </fill>
    <fill>
      <patternFill patternType="solid">
        <fgColor rgb="00EFF7EA"/>
      </patternFill>
    </fill>
    <fill>
      <patternFill patternType="solid">
        <fgColor rgb="00FFF0E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9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9" fontId="4" fillId="1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9" fontId="6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8" customWidth="1" min="4" max="4"/>
    <col width="40" customWidth="1" min="5" max="5"/>
    <col width="22" customWidth="1" min="6" max="6"/>
    <col width="28" customWidth="1" min="7" max="7"/>
    <col width="18" customWidth="1" min="8" max="8"/>
    <col width="40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9" customWidth="1" min="15" max="15"/>
  </cols>
  <sheetData>
    <row r="1" ht="28" customHeight="1">
      <c r="A1" s="1" t="inlineStr">
        <is>
          <t>Visiting Card Extraction — Evaluation Sheet</t>
        </is>
      </c>
    </row>
    <row r="2" ht="20" customHeight="1">
      <c r="A2" s="2" t="n"/>
      <c r="B2" s="3" t="inlineStr">
        <is>
          <t>GOLDEN SOURCE</t>
        </is>
      </c>
      <c r="F2" s="4" t="inlineStr">
        <is>
          <t>EXTRACTED INFO FROM VISITING CARD</t>
        </is>
      </c>
      <c r="J2" s="5" t="inlineStr">
        <is>
          <t>EXTRACTION QUALITY METRICS</t>
        </is>
      </c>
    </row>
    <row r="3" ht="32" customHeight="1">
      <c r="A3" s="6" t="inlineStr">
        <is>
          <t>#</t>
        </is>
      </c>
      <c r="B3" s="7" t="inlineStr">
        <is>
          <t>Name</t>
        </is>
      </c>
      <c r="C3" s="7" t="inlineStr">
        <is>
          <t>Email</t>
        </is>
      </c>
      <c r="D3" s="7" t="inlineStr">
        <is>
          <t>Phone</t>
        </is>
      </c>
      <c r="E3" s="7" t="inlineStr">
        <is>
          <t>Address</t>
        </is>
      </c>
      <c r="F3" s="8" t="inlineStr">
        <is>
          <t>Name</t>
        </is>
      </c>
      <c r="G3" s="8" t="inlineStr">
        <is>
          <t>Email</t>
        </is>
      </c>
      <c r="H3" s="8" t="inlineStr">
        <is>
          <t>Phone</t>
        </is>
      </c>
      <c r="I3" s="8" t="inlineStr">
        <is>
          <t>Address</t>
        </is>
      </c>
      <c r="J3" s="9" t="inlineStr">
        <is>
          <t>Name
Match</t>
        </is>
      </c>
      <c r="K3" s="9" t="inlineStr">
        <is>
          <t>Email
Match</t>
        </is>
      </c>
      <c r="L3" s="9" t="inlineStr">
        <is>
          <t>Phone
Match</t>
        </is>
      </c>
      <c r="M3" s="9" t="inlineStr">
        <is>
          <t>Address
Match</t>
        </is>
      </c>
      <c r="N3" s="9" t="inlineStr">
        <is>
          <t>Fields
Matched /4</t>
        </is>
      </c>
      <c r="O3" s="9" t="inlineStr">
        <is>
          <t>Match
%</t>
        </is>
      </c>
    </row>
    <row r="4">
      <c r="A4" s="10" t="n">
        <v>1</v>
      </c>
      <c r="B4" s="11" t="inlineStr">
        <is>
          <t>Alice Martin</t>
        </is>
      </c>
      <c r="C4" s="11" t="inlineStr">
        <is>
          <t>alice.martin@techcorp.com</t>
        </is>
      </c>
      <c r="D4" s="11" t="inlineStr">
        <is>
          <t>+32 477 12 34 56</t>
        </is>
      </c>
      <c r="E4" s="11" t="inlineStr">
        <is>
          <t>12 Rue de la Loi, 1000 Brussels, Belgium</t>
        </is>
      </c>
      <c r="F4" s="12" t="inlineStr">
        <is>
          <t>Alice Martin</t>
        </is>
      </c>
      <c r="G4" s="12" t="inlineStr">
        <is>
          <t>alice.martin@techcorp.com</t>
        </is>
      </c>
      <c r="H4" s="12" t="inlineStr">
        <is>
          <t>+32 477 12 34 56</t>
        </is>
      </c>
      <c r="I4" s="12" t="inlineStr">
        <is>
          <t>12 Rue de la Loi, 1000 Brussels, Belgium</t>
        </is>
      </c>
      <c r="J4" s="13">
        <f>IF(AND(TRIM(B4)="",TRIM(F4)=""),1,IF(EXACT(LOWER(TRIM(B4)),LOWER(TRIM(F4))),1,0))</f>
        <v/>
      </c>
      <c r="K4" s="13">
        <f>IF(AND(TRIM(C4)="",TRIM(G4)=""),1,IF(EXACT(LOWER(TRIM(C4)),LOWER(TRIM(G4))),1,0))</f>
        <v/>
      </c>
      <c r="L4" s="13">
        <f>IF(AND(TRIM(D4)="",TRIM(H4)=""),1,IF(EXACT(LOWER(TRIM(D4)),LOWER(TRIM(H4))),1,0))</f>
        <v/>
      </c>
      <c r="M4" s="13">
        <f>IF(AND(TRIM(E4)="",TRIM(I4)=""),1,IF(EXACT(LOWER(TRIM(E4)),LOWER(TRIM(I4))),1,0))</f>
        <v/>
      </c>
      <c r="N4" s="13">
        <f>SUM(J4:M4)</f>
        <v/>
      </c>
      <c r="O4" s="14">
        <f>N4/4</f>
        <v/>
      </c>
    </row>
    <row r="5">
      <c r="A5" s="10" t="n">
        <v>2</v>
      </c>
      <c r="B5" s="15" t="inlineStr">
        <is>
          <t>Bob Janssen</t>
        </is>
      </c>
      <c r="C5" s="15" t="inlineStr">
        <is>
          <t>b.janssen@solutions.be</t>
        </is>
      </c>
      <c r="D5" s="15" t="inlineStr">
        <is>
          <t>+32 9 222 33 44</t>
        </is>
      </c>
      <c r="E5" s="15" t="inlineStr">
        <is>
          <t>45 Leopoldstraat, 2000 Antwerp, Belgium</t>
        </is>
      </c>
      <c r="F5" s="16" t="inlineStr">
        <is>
          <t>Bob Janssen</t>
        </is>
      </c>
      <c r="G5" s="16" t="inlineStr">
        <is>
          <t>b.janssen@solutions.be</t>
        </is>
      </c>
      <c r="H5" s="16" t="inlineStr">
        <is>
          <t>+32 9 222 33 44</t>
        </is>
      </c>
      <c r="I5" s="16" t="inlineStr"/>
      <c r="J5" s="17">
        <f>IF(AND(TRIM(B5)="",TRIM(F5)=""),1,IF(EXACT(LOWER(TRIM(B5)),LOWER(TRIM(F5))),1,0))</f>
        <v/>
      </c>
      <c r="K5" s="17">
        <f>IF(AND(TRIM(C5)="",TRIM(G5)=""),1,IF(EXACT(LOWER(TRIM(C5)),LOWER(TRIM(G5))),1,0))</f>
        <v/>
      </c>
      <c r="L5" s="17">
        <f>IF(AND(TRIM(D5)="",TRIM(H5)=""),1,IF(EXACT(LOWER(TRIM(D5)),LOWER(TRIM(H5))),1,0))</f>
        <v/>
      </c>
      <c r="M5" s="17">
        <f>IF(AND(TRIM(E5)="",TRIM(I5)=""),1,IF(EXACT(LOWER(TRIM(E5)),LOWER(TRIM(I5))),1,0))</f>
        <v/>
      </c>
      <c r="N5" s="17">
        <f>SUM(J5:M5)</f>
        <v/>
      </c>
      <c r="O5" s="18">
        <f>N5/4</f>
        <v/>
      </c>
    </row>
    <row r="6">
      <c r="A6" s="10" t="n">
        <v>3</v>
      </c>
      <c r="B6" s="11" t="inlineStr">
        <is>
          <t>Clara Dubois</t>
        </is>
      </c>
      <c r="C6" s="11" t="inlineStr">
        <is>
          <t>clara.d@innovate.eu</t>
        </is>
      </c>
      <c r="D6" s="11" t="inlineStr">
        <is>
          <t>+33 6 12 34 56 78</t>
        </is>
      </c>
      <c r="E6" s="11" t="inlineStr">
        <is>
          <t>8 Avenue Victor Hugo, 75016 Paris, France</t>
        </is>
      </c>
      <c r="F6" s="12" t="inlineStr">
        <is>
          <t>Clara Dubois</t>
        </is>
      </c>
      <c r="G6" s="12" t="inlineStr">
        <is>
          <t>clara.d@innovate.eu</t>
        </is>
      </c>
      <c r="H6" s="12" t="inlineStr"/>
      <c r="I6" s="12" t="inlineStr">
        <is>
          <t>8 Avenue Victor Hugo, 75016 Paris, France</t>
        </is>
      </c>
      <c r="J6" s="13">
        <f>IF(AND(TRIM(B6)="",TRIM(F6)=""),1,IF(EXACT(LOWER(TRIM(B6)),LOWER(TRIM(F6))),1,0))</f>
        <v/>
      </c>
      <c r="K6" s="13">
        <f>IF(AND(TRIM(C6)="",TRIM(G6)=""),1,IF(EXACT(LOWER(TRIM(C6)),LOWER(TRIM(G6))),1,0))</f>
        <v/>
      </c>
      <c r="L6" s="13">
        <f>IF(AND(TRIM(D6)="",TRIM(H6)=""),1,IF(EXACT(LOWER(TRIM(D6)),LOWER(TRIM(H6))),1,0))</f>
        <v/>
      </c>
      <c r="M6" s="13">
        <f>IF(AND(TRIM(E6)="",TRIM(I6)=""),1,IF(EXACT(LOWER(TRIM(E6)),LOWER(TRIM(I6))),1,0))</f>
        <v/>
      </c>
      <c r="N6" s="13">
        <f>SUM(J6:M6)</f>
        <v/>
      </c>
      <c r="O6" s="14">
        <f>N6/4</f>
        <v/>
      </c>
    </row>
    <row r="7">
      <c r="A7" s="10" t="n">
        <v>4</v>
      </c>
      <c r="B7" s="15" t="inlineStr">
        <is>
          <t>David Schmidt</t>
        </is>
      </c>
      <c r="C7" s="15" t="inlineStr">
        <is>
          <t>david.schmidt@gmx.de</t>
        </is>
      </c>
      <c r="D7" s="15" t="inlineStr">
        <is>
          <t>+49 30 987654</t>
        </is>
      </c>
      <c r="E7" s="15" t="inlineStr">
        <is>
          <t>Unter den Linden 5, 10117 Berlin, Germany</t>
        </is>
      </c>
      <c r="F7" s="16" t="inlineStr">
        <is>
          <t>David Schmidt</t>
        </is>
      </c>
      <c r="G7" s="16" t="inlineStr">
        <is>
          <t>david.schmidt@gmx.de</t>
        </is>
      </c>
      <c r="H7" s="16" t="inlineStr">
        <is>
          <t>+49 30 987654</t>
        </is>
      </c>
      <c r="I7" s="16" t="inlineStr">
        <is>
          <t>Unter den Linden 5, 10117 Berlin, Germany</t>
        </is>
      </c>
      <c r="J7" s="17">
        <f>IF(AND(TRIM(B7)="",TRIM(F7)=""),1,IF(EXACT(LOWER(TRIM(B7)),LOWER(TRIM(F7))),1,0))</f>
        <v/>
      </c>
      <c r="K7" s="17">
        <f>IF(AND(TRIM(C7)="",TRIM(G7)=""),1,IF(EXACT(LOWER(TRIM(C7)),LOWER(TRIM(G7))),1,0))</f>
        <v/>
      </c>
      <c r="L7" s="17">
        <f>IF(AND(TRIM(D7)="",TRIM(H7)=""),1,IF(EXACT(LOWER(TRIM(D7)),LOWER(TRIM(H7))),1,0))</f>
        <v/>
      </c>
      <c r="M7" s="17">
        <f>IF(AND(TRIM(E7)="",TRIM(I7)=""),1,IF(EXACT(LOWER(TRIM(E7)),LOWER(TRIM(I7))),1,0))</f>
        <v/>
      </c>
      <c r="N7" s="17">
        <f>SUM(J7:M7)</f>
        <v/>
      </c>
      <c r="O7" s="18">
        <f>N7/4</f>
        <v/>
      </c>
    </row>
    <row r="8">
      <c r="A8" s="10" t="n">
        <v>5</v>
      </c>
      <c r="B8" s="11" t="inlineStr">
        <is>
          <t>Eva Nkosi</t>
        </is>
      </c>
      <c r="C8" s="11" t="inlineStr">
        <is>
          <t>eva.nkosi@africa.co.za</t>
        </is>
      </c>
      <c r="D8" s="11" t="inlineStr">
        <is>
          <t>+27 11 555 7890</t>
        </is>
      </c>
      <c r="E8" s="11" t="inlineStr">
        <is>
          <t>3 Nelson Mandela Sq, Sandton, South Africa</t>
        </is>
      </c>
      <c r="F8" s="12" t="inlineStr">
        <is>
          <t>Eva Nkosi</t>
        </is>
      </c>
      <c r="G8" s="12" t="inlineStr"/>
      <c r="H8" s="12" t="inlineStr">
        <is>
          <t>+27 11 555 7890</t>
        </is>
      </c>
      <c r="I8" s="12" t="inlineStr">
        <is>
          <t>3 Nelson Mandela Sq, Sandton, South Africa</t>
        </is>
      </c>
      <c r="J8" s="13">
        <f>IF(AND(TRIM(B8)="",TRIM(F8)=""),1,IF(EXACT(LOWER(TRIM(B8)),LOWER(TRIM(F8))),1,0))</f>
        <v/>
      </c>
      <c r="K8" s="13">
        <f>IF(AND(TRIM(C8)="",TRIM(G8)=""),1,IF(EXACT(LOWER(TRIM(C8)),LOWER(TRIM(G8))),1,0))</f>
        <v/>
      </c>
      <c r="L8" s="13">
        <f>IF(AND(TRIM(D8)="",TRIM(H8)=""),1,IF(EXACT(LOWER(TRIM(D8)),LOWER(TRIM(H8))),1,0))</f>
        <v/>
      </c>
      <c r="M8" s="13">
        <f>IF(AND(TRIM(E8)="",TRIM(I8)=""),1,IF(EXACT(LOWER(TRIM(E8)),LOWER(TRIM(I8))),1,0))</f>
        <v/>
      </c>
      <c r="N8" s="13">
        <f>SUM(J8:M8)</f>
        <v/>
      </c>
      <c r="O8" s="14">
        <f>N8/4</f>
        <v/>
      </c>
    </row>
    <row r="9">
      <c r="A9" s="10" t="n">
        <v>6</v>
      </c>
      <c r="B9" s="15" t="inlineStr">
        <is>
          <t>Frank Tran</t>
        </is>
      </c>
      <c r="C9" s="15" t="inlineStr">
        <is>
          <t>frank.tran@vietco.vn</t>
        </is>
      </c>
      <c r="D9" s="15" t="inlineStr">
        <is>
          <t>+84 90 123 4567</t>
        </is>
      </c>
      <c r="E9" s="15" t="inlineStr">
        <is>
          <t>22 Le Loi Blvd, Ho Chi Minh City, Vietnam</t>
        </is>
      </c>
      <c r="F9" s="16" t="inlineStr">
        <is>
          <t>Frank Tran</t>
        </is>
      </c>
      <c r="G9" s="16" t="inlineStr">
        <is>
          <t>frank.tran@vietco.vn</t>
        </is>
      </c>
      <c r="H9" s="16" t="inlineStr">
        <is>
          <t>+84 90 123 4567</t>
        </is>
      </c>
      <c r="I9" s="16" t="inlineStr">
        <is>
          <t>22 Le Loi Blvd, Ho Chi Minh City, Vietnam</t>
        </is>
      </c>
      <c r="J9" s="17">
        <f>IF(AND(TRIM(B9)="",TRIM(F9)=""),1,IF(EXACT(LOWER(TRIM(B9)),LOWER(TRIM(F9))),1,0))</f>
        <v/>
      </c>
      <c r="K9" s="17">
        <f>IF(AND(TRIM(C9)="",TRIM(G9)=""),1,IF(EXACT(LOWER(TRIM(C9)),LOWER(TRIM(G9))),1,0))</f>
        <v/>
      </c>
      <c r="L9" s="17">
        <f>IF(AND(TRIM(D9)="",TRIM(H9)=""),1,IF(EXACT(LOWER(TRIM(D9)),LOWER(TRIM(H9))),1,0))</f>
        <v/>
      </c>
      <c r="M9" s="17">
        <f>IF(AND(TRIM(E9)="",TRIM(I9)=""),1,IF(EXACT(LOWER(TRIM(E9)),LOWER(TRIM(I9))),1,0))</f>
        <v/>
      </c>
      <c r="N9" s="17">
        <f>SUM(J9:M9)</f>
        <v/>
      </c>
      <c r="O9" s="18">
        <f>N9/4</f>
        <v/>
      </c>
    </row>
    <row r="10">
      <c r="A10" s="10" t="n">
        <v>7</v>
      </c>
      <c r="B10" s="11" t="inlineStr">
        <is>
          <t>Grace Kim</t>
        </is>
      </c>
      <c r="C10" s="11" t="inlineStr">
        <is>
          <t>grace.kim@seoul.kr</t>
        </is>
      </c>
      <c r="D10" s="11" t="inlineStr">
        <is>
          <t>+82 10 3456 7890</t>
        </is>
      </c>
      <c r="E10" s="11" t="inlineStr">
        <is>
          <t>101 Gangnam-daero, Seoul 06253, Korea</t>
        </is>
      </c>
      <c r="F10" s="12" t="inlineStr">
        <is>
          <t>Grace Kim</t>
        </is>
      </c>
      <c r="G10" s="12" t="inlineStr">
        <is>
          <t>grace.kim@seoul.kr</t>
        </is>
      </c>
      <c r="H10" s="12" t="inlineStr">
        <is>
          <t>+82 10 3456 7890</t>
        </is>
      </c>
      <c r="I10" s="12" t="inlineStr">
        <is>
          <t>101 Gangnam-daero, Seoul, Korea</t>
        </is>
      </c>
      <c r="J10" s="13">
        <f>IF(AND(TRIM(B10)="",TRIM(F10)=""),1,IF(EXACT(LOWER(TRIM(B10)),LOWER(TRIM(F10))),1,0))</f>
        <v/>
      </c>
      <c r="K10" s="13">
        <f>IF(AND(TRIM(C10)="",TRIM(G10)=""),1,IF(EXACT(LOWER(TRIM(C10)),LOWER(TRIM(G10))),1,0))</f>
        <v/>
      </c>
      <c r="L10" s="13">
        <f>IF(AND(TRIM(D10)="",TRIM(H10)=""),1,IF(EXACT(LOWER(TRIM(D10)),LOWER(TRIM(H10))),1,0))</f>
        <v/>
      </c>
      <c r="M10" s="13">
        <f>IF(AND(TRIM(E10)="",TRIM(I10)=""),1,IF(EXACT(LOWER(TRIM(E10)),LOWER(TRIM(I10))),1,0))</f>
        <v/>
      </c>
      <c r="N10" s="13">
        <f>SUM(J10:M10)</f>
        <v/>
      </c>
      <c r="O10" s="14">
        <f>N10/4</f>
        <v/>
      </c>
    </row>
    <row r="11">
      <c r="A11" s="10" t="n">
        <v>8</v>
      </c>
      <c r="B11" s="15" t="inlineStr">
        <is>
          <t>Hector Ramirez</t>
        </is>
      </c>
      <c r="C11" s="15" t="inlineStr">
        <is>
          <t>h.ramirez@empresa.mx</t>
        </is>
      </c>
      <c r="D11" s="15" t="inlineStr">
        <is>
          <t>+52 55 1234 5678</t>
        </is>
      </c>
      <c r="E11" s="15" t="inlineStr">
        <is>
          <t>Paseo de la Reforma 300, Mexico City, Mexico</t>
        </is>
      </c>
      <c r="F11" s="16" t="inlineStr">
        <is>
          <t>Hector Ramirez</t>
        </is>
      </c>
      <c r="G11" s="16" t="inlineStr">
        <is>
          <t>h.ramirez@empresa.mx</t>
        </is>
      </c>
      <c r="H11" s="16" t="inlineStr"/>
      <c r="I11" s="16" t="inlineStr"/>
      <c r="J11" s="17">
        <f>IF(AND(TRIM(B11)="",TRIM(F11)=""),1,IF(EXACT(LOWER(TRIM(B11)),LOWER(TRIM(F11))),1,0))</f>
        <v/>
      </c>
      <c r="K11" s="17">
        <f>IF(AND(TRIM(C11)="",TRIM(G11)=""),1,IF(EXACT(LOWER(TRIM(C11)),LOWER(TRIM(G11))),1,0))</f>
        <v/>
      </c>
      <c r="L11" s="17">
        <f>IF(AND(TRIM(D11)="",TRIM(H11)=""),1,IF(EXACT(LOWER(TRIM(D11)),LOWER(TRIM(H11))),1,0))</f>
        <v/>
      </c>
      <c r="M11" s="17">
        <f>IF(AND(TRIM(E11)="",TRIM(I11)=""),1,IF(EXACT(LOWER(TRIM(E11)),LOWER(TRIM(I11))),1,0))</f>
        <v/>
      </c>
      <c r="N11" s="17">
        <f>SUM(J11:M11)</f>
        <v/>
      </c>
      <c r="O11" s="18">
        <f>N11/4</f>
        <v/>
      </c>
    </row>
    <row r="12">
      <c r="A12" s="10" t="n">
        <v>9</v>
      </c>
      <c r="B12" s="11" t="inlineStr">
        <is>
          <t>Isabel Ferreira</t>
        </is>
      </c>
      <c r="C12" s="11" t="inlineStr">
        <is>
          <t>isabel.f@porto.pt</t>
        </is>
      </c>
      <c r="D12" s="11" t="inlineStr">
        <is>
          <t>+351 91 234 5678</t>
        </is>
      </c>
      <c r="E12" s="11" t="inlineStr">
        <is>
          <t>Rua de Santa Catarina 10, 4000 Porto, Portugal</t>
        </is>
      </c>
      <c r="F12" s="12" t="inlineStr">
        <is>
          <t>Isabel Ferreira</t>
        </is>
      </c>
      <c r="G12" s="12" t="inlineStr">
        <is>
          <t>isabel.ferreira@porto.pt</t>
        </is>
      </c>
      <c r="H12" s="12" t="inlineStr">
        <is>
          <t>+351 91 234 5678</t>
        </is>
      </c>
      <c r="I12" s="12" t="inlineStr">
        <is>
          <t>Rua de Santa Catarina 10, 4000 Porto, Portugal</t>
        </is>
      </c>
      <c r="J12" s="13">
        <f>IF(AND(TRIM(B12)="",TRIM(F12)=""),1,IF(EXACT(LOWER(TRIM(B12)),LOWER(TRIM(F12))),1,0))</f>
        <v/>
      </c>
      <c r="K12" s="13">
        <f>IF(AND(TRIM(C12)="",TRIM(G12)=""),1,IF(EXACT(LOWER(TRIM(C12)),LOWER(TRIM(G12))),1,0))</f>
        <v/>
      </c>
      <c r="L12" s="13">
        <f>IF(AND(TRIM(D12)="",TRIM(H12)=""),1,IF(EXACT(LOWER(TRIM(D12)),LOWER(TRIM(H12))),1,0))</f>
        <v/>
      </c>
      <c r="M12" s="13">
        <f>IF(AND(TRIM(E12)="",TRIM(I12)=""),1,IF(EXACT(LOWER(TRIM(E12)),LOWER(TRIM(I12))),1,0))</f>
        <v/>
      </c>
      <c r="N12" s="13">
        <f>SUM(J12:M12)</f>
        <v/>
      </c>
      <c r="O12" s="14">
        <f>N12/4</f>
        <v/>
      </c>
    </row>
    <row r="13">
      <c r="A13" s="10" t="n">
        <v>10</v>
      </c>
      <c r="B13" s="15" t="inlineStr">
        <is>
          <t>James Okonkwo</t>
        </is>
      </c>
      <c r="C13" s="15" t="inlineStr">
        <is>
          <t>j.okonkwo@nigeriatelecom.ng</t>
        </is>
      </c>
      <c r="D13" s="15" t="inlineStr">
        <is>
          <t>+234 803 456 7890</t>
        </is>
      </c>
      <c r="E13" s="15" t="inlineStr">
        <is>
          <t>14 Broad Street, Lagos Island, Nigeria</t>
        </is>
      </c>
      <c r="F13" s="16" t="inlineStr">
        <is>
          <t>James Okonkwo</t>
        </is>
      </c>
      <c r="G13" s="16" t="inlineStr">
        <is>
          <t>j.okonkwo@nigeriatelecom.ng</t>
        </is>
      </c>
      <c r="H13" s="16" t="inlineStr">
        <is>
          <t>+234 803 456 7890</t>
        </is>
      </c>
      <c r="I13" s="16" t="inlineStr">
        <is>
          <t>14 Broad Street, Lagos Island, Nigeria</t>
        </is>
      </c>
      <c r="J13" s="17">
        <f>IF(AND(TRIM(B13)="",TRIM(F13)=""),1,IF(EXACT(LOWER(TRIM(B13)),LOWER(TRIM(F13))),1,0))</f>
        <v/>
      </c>
      <c r="K13" s="17">
        <f>IF(AND(TRIM(C13)="",TRIM(G13)=""),1,IF(EXACT(LOWER(TRIM(C13)),LOWER(TRIM(G13))),1,0))</f>
        <v/>
      </c>
      <c r="L13" s="17">
        <f>IF(AND(TRIM(D13)="",TRIM(H13)=""),1,IF(EXACT(LOWER(TRIM(D13)),LOWER(TRIM(H13))),1,0))</f>
        <v/>
      </c>
      <c r="M13" s="17">
        <f>IF(AND(TRIM(E13)="",TRIM(I13)=""),1,IF(EXACT(LOWER(TRIM(E13)),LOWER(TRIM(I13))),1,0))</f>
        <v/>
      </c>
      <c r="N13" s="17">
        <f>SUM(J13:M13)</f>
        <v/>
      </c>
      <c r="O13" s="18">
        <f>N13/4</f>
        <v/>
      </c>
    </row>
    <row r="14">
      <c r="A14" s="10" t="n">
        <v>11</v>
      </c>
      <c r="B14" s="11" t="inlineStr">
        <is>
          <t>Karen Lefebvre</t>
        </is>
      </c>
      <c r="C14" s="11" t="inlineStr">
        <is>
          <t>karen.lefebvre@quebec.ca</t>
        </is>
      </c>
      <c r="D14" s="11" t="inlineStr">
        <is>
          <t>+1 514 987 6543</t>
        </is>
      </c>
      <c r="E14" s="11" t="inlineStr">
        <is>
          <t>1200 Rue de la Montagne, Montreal, QC H3G 2A7</t>
        </is>
      </c>
      <c r="F14" s="12" t="inlineStr">
        <is>
          <t>Karen Lefebvre</t>
        </is>
      </c>
      <c r="G14" s="12" t="inlineStr">
        <is>
          <t>karen.lefebvre@quebec.ca</t>
        </is>
      </c>
      <c r="H14" s="12" t="inlineStr">
        <is>
          <t>+1 514 987 6543</t>
        </is>
      </c>
      <c r="I14" s="12" t="inlineStr">
        <is>
          <t>1200 Rue de la Montagne, Montreal, QC H3G 2A7</t>
        </is>
      </c>
      <c r="J14" s="13">
        <f>IF(AND(TRIM(B14)="",TRIM(F14)=""),1,IF(EXACT(LOWER(TRIM(B14)),LOWER(TRIM(F14))),1,0))</f>
        <v/>
      </c>
      <c r="K14" s="13">
        <f>IF(AND(TRIM(C14)="",TRIM(G14)=""),1,IF(EXACT(LOWER(TRIM(C14)),LOWER(TRIM(G14))),1,0))</f>
        <v/>
      </c>
      <c r="L14" s="13">
        <f>IF(AND(TRIM(D14)="",TRIM(H14)=""),1,IF(EXACT(LOWER(TRIM(D14)),LOWER(TRIM(H14))),1,0))</f>
        <v/>
      </c>
      <c r="M14" s="13">
        <f>IF(AND(TRIM(E14)="",TRIM(I14)=""),1,IF(EXACT(LOWER(TRIM(E14)),LOWER(TRIM(I14))),1,0))</f>
        <v/>
      </c>
      <c r="N14" s="13">
        <f>SUM(J14:M14)</f>
        <v/>
      </c>
      <c r="O14" s="14">
        <f>N14/4</f>
        <v/>
      </c>
    </row>
    <row r="15">
      <c r="A15" s="10" t="n">
        <v>12</v>
      </c>
      <c r="B15" s="15" t="inlineStr">
        <is>
          <t>Lars Eriksson</t>
        </is>
      </c>
      <c r="C15" s="15" t="inlineStr">
        <is>
          <t>lars.e@nordic.se</t>
        </is>
      </c>
      <c r="D15" s="15" t="inlineStr">
        <is>
          <t>+46 70 123 45 67</t>
        </is>
      </c>
      <c r="E15" s="15" t="inlineStr">
        <is>
          <t>Drottninggatan 25, 111 51 Stockholm, Sweden</t>
        </is>
      </c>
      <c r="F15" s="16" t="inlineStr">
        <is>
          <t>Lars Eriksson</t>
        </is>
      </c>
      <c r="G15" s="16" t="inlineStr">
        <is>
          <t>lars.e@nordic.se</t>
        </is>
      </c>
      <c r="H15" s="16" t="inlineStr">
        <is>
          <t>+46 70 123 45 67</t>
        </is>
      </c>
      <c r="I15" s="16" t="inlineStr"/>
      <c r="J15" s="17">
        <f>IF(AND(TRIM(B15)="",TRIM(F15)=""),1,IF(EXACT(LOWER(TRIM(B15)),LOWER(TRIM(F15))),1,0))</f>
        <v/>
      </c>
      <c r="K15" s="17">
        <f>IF(AND(TRIM(C15)="",TRIM(G15)=""),1,IF(EXACT(LOWER(TRIM(C15)),LOWER(TRIM(G15))),1,0))</f>
        <v/>
      </c>
      <c r="L15" s="17">
        <f>IF(AND(TRIM(D15)="",TRIM(H15)=""),1,IF(EXACT(LOWER(TRIM(D15)),LOWER(TRIM(H15))),1,0))</f>
        <v/>
      </c>
      <c r="M15" s="17">
        <f>IF(AND(TRIM(E15)="",TRIM(I15)=""),1,IF(EXACT(LOWER(TRIM(E15)),LOWER(TRIM(I15))),1,0))</f>
        <v/>
      </c>
      <c r="N15" s="17">
        <f>SUM(J15:M15)</f>
        <v/>
      </c>
      <c r="O15" s="18">
        <f>N15/4</f>
        <v/>
      </c>
    </row>
    <row r="16">
      <c r="A16" s="10" t="n">
        <v>13</v>
      </c>
      <c r="B16" s="11" t="inlineStr">
        <is>
          <t>Maria Rossi</t>
        </is>
      </c>
      <c r="C16" s="11" t="inlineStr">
        <is>
          <t>m.rossi@italia.it</t>
        </is>
      </c>
      <c r="D16" s="11" t="inlineStr">
        <is>
          <t>+39 02 9876 5432</t>
        </is>
      </c>
      <c r="E16" s="11" t="inlineStr">
        <is>
          <t>Via Montenapoleone 8, 20121 Milan, Italy</t>
        </is>
      </c>
      <c r="F16" s="12" t="inlineStr">
        <is>
          <t>Maria Rossi</t>
        </is>
      </c>
      <c r="G16" s="12" t="inlineStr">
        <is>
          <t>m.rossi@italia.it</t>
        </is>
      </c>
      <c r="H16" s="12" t="inlineStr">
        <is>
          <t>+39 02 9876 5432</t>
        </is>
      </c>
      <c r="I16" s="12" t="inlineStr">
        <is>
          <t>Via Montenapoleone 8, 20121 Milan, Italy</t>
        </is>
      </c>
      <c r="J16" s="13">
        <f>IF(AND(TRIM(B16)="",TRIM(F16)=""),1,IF(EXACT(LOWER(TRIM(B16)),LOWER(TRIM(F16))),1,0))</f>
        <v/>
      </c>
      <c r="K16" s="13">
        <f>IF(AND(TRIM(C16)="",TRIM(G16)=""),1,IF(EXACT(LOWER(TRIM(C16)),LOWER(TRIM(G16))),1,0))</f>
        <v/>
      </c>
      <c r="L16" s="13">
        <f>IF(AND(TRIM(D16)="",TRIM(H16)=""),1,IF(EXACT(LOWER(TRIM(D16)),LOWER(TRIM(H16))),1,0))</f>
        <v/>
      </c>
      <c r="M16" s="13">
        <f>IF(AND(TRIM(E16)="",TRIM(I16)=""),1,IF(EXACT(LOWER(TRIM(E16)),LOWER(TRIM(I16))),1,0))</f>
        <v/>
      </c>
      <c r="N16" s="13">
        <f>SUM(J16:M16)</f>
        <v/>
      </c>
      <c r="O16" s="14">
        <f>N16/4</f>
        <v/>
      </c>
    </row>
    <row r="17">
      <c r="A17" s="10" t="n">
        <v>14</v>
      </c>
      <c r="B17" s="15" t="inlineStr">
        <is>
          <t>Nathan Brooks</t>
        </is>
      </c>
      <c r="C17" s="15" t="inlineStr">
        <is>
          <t>n.brooks@startupnyc.com</t>
        </is>
      </c>
      <c r="D17" s="15" t="inlineStr">
        <is>
          <t>+1 212 555 0199</t>
        </is>
      </c>
      <c r="E17" s="15" t="inlineStr">
        <is>
          <t>350 Fifth Avenue, New York, NY 10118, USA</t>
        </is>
      </c>
      <c r="F17" s="16" t="inlineStr">
        <is>
          <t>Nathan Brooks</t>
        </is>
      </c>
      <c r="G17" s="16" t="inlineStr">
        <is>
          <t>nathanbrooks@startupnyc.com</t>
        </is>
      </c>
      <c r="H17" s="16" t="inlineStr">
        <is>
          <t>+1 212 555 0199</t>
        </is>
      </c>
      <c r="I17" s="16" t="inlineStr">
        <is>
          <t>350 Fifth Avenue, New York, NY 10118, USA</t>
        </is>
      </c>
      <c r="J17" s="17">
        <f>IF(AND(TRIM(B17)="",TRIM(F17)=""),1,IF(EXACT(LOWER(TRIM(B17)),LOWER(TRIM(F17))),1,0))</f>
        <v/>
      </c>
      <c r="K17" s="17">
        <f>IF(AND(TRIM(C17)="",TRIM(G17)=""),1,IF(EXACT(LOWER(TRIM(C17)),LOWER(TRIM(G17))),1,0))</f>
        <v/>
      </c>
      <c r="L17" s="17">
        <f>IF(AND(TRIM(D17)="",TRIM(H17)=""),1,IF(EXACT(LOWER(TRIM(D17)),LOWER(TRIM(H17))),1,0))</f>
        <v/>
      </c>
      <c r="M17" s="17">
        <f>IF(AND(TRIM(E17)="",TRIM(I17)=""),1,IF(EXACT(LOWER(TRIM(E17)),LOWER(TRIM(I17))),1,0))</f>
        <v/>
      </c>
      <c r="N17" s="17">
        <f>SUM(J17:M17)</f>
        <v/>
      </c>
      <c r="O17" s="18">
        <f>N17/4</f>
        <v/>
      </c>
    </row>
    <row r="18">
      <c r="A18" s="10" t="n">
        <v>15</v>
      </c>
      <c r="B18" s="11" t="inlineStr">
        <is>
          <t>Olivia Chen</t>
        </is>
      </c>
      <c r="C18" s="11" t="inlineStr">
        <is>
          <t>olivia.chen@hkfinance.hk</t>
        </is>
      </c>
      <c r="D18" s="11" t="inlineStr">
        <is>
          <t>+852 9123 4567</t>
        </is>
      </c>
      <c r="E18" s="11" t="inlineStr">
        <is>
          <t>88 Queensway, Admiralty, Hong Kong</t>
        </is>
      </c>
      <c r="F18" s="12" t="inlineStr">
        <is>
          <t>Olivia Chen</t>
        </is>
      </c>
      <c r="G18" s="12" t="inlineStr">
        <is>
          <t>olivia.chen@hkfinance.hk</t>
        </is>
      </c>
      <c r="H18" s="12" t="inlineStr"/>
      <c r="I18" s="12" t="inlineStr">
        <is>
          <t>88 Queensway, Admiralty, Hong Kong</t>
        </is>
      </c>
      <c r="J18" s="13">
        <f>IF(AND(TRIM(B18)="",TRIM(F18)=""),1,IF(EXACT(LOWER(TRIM(B18)),LOWER(TRIM(F18))),1,0))</f>
        <v/>
      </c>
      <c r="K18" s="13">
        <f>IF(AND(TRIM(C18)="",TRIM(G18)=""),1,IF(EXACT(LOWER(TRIM(C18)),LOWER(TRIM(G18))),1,0))</f>
        <v/>
      </c>
      <c r="L18" s="13">
        <f>IF(AND(TRIM(D18)="",TRIM(H18)=""),1,IF(EXACT(LOWER(TRIM(D18)),LOWER(TRIM(H18))),1,0))</f>
        <v/>
      </c>
      <c r="M18" s="13">
        <f>IF(AND(TRIM(E18)="",TRIM(I18)=""),1,IF(EXACT(LOWER(TRIM(E18)),LOWER(TRIM(I18))),1,0))</f>
        <v/>
      </c>
      <c r="N18" s="13">
        <f>SUM(J18:M18)</f>
        <v/>
      </c>
      <c r="O18" s="14">
        <f>N18/4</f>
        <v/>
      </c>
    </row>
    <row r="19">
      <c r="A19" s="10" t="n">
        <v>16</v>
      </c>
      <c r="B19" s="15" t="inlineStr">
        <is>
          <t>Pierre Dupont</t>
        </is>
      </c>
      <c r="C19" s="15" t="inlineStr">
        <is>
          <t>pierre.dupont@lyonnaise.fr</t>
        </is>
      </c>
      <c r="D19" s="15" t="inlineStr">
        <is>
          <t>+33 4 72 10 30 50</t>
        </is>
      </c>
      <c r="E19" s="15" t="inlineStr">
        <is>
          <t>3 Place Bellecour, 69002 Lyon, France</t>
        </is>
      </c>
      <c r="F19" s="16" t="inlineStr">
        <is>
          <t>Pierre Dupont</t>
        </is>
      </c>
      <c r="G19" s="16" t="inlineStr">
        <is>
          <t>pierre.dupont@lyonnaise.fr</t>
        </is>
      </c>
      <c r="H19" s="16" t="inlineStr">
        <is>
          <t>+33 4 72 10 30 50</t>
        </is>
      </c>
      <c r="I19" s="16" t="inlineStr">
        <is>
          <t>3 Place Bellecour, 69002 Lyon, France</t>
        </is>
      </c>
      <c r="J19" s="17">
        <f>IF(AND(TRIM(B19)="",TRIM(F19)=""),1,IF(EXACT(LOWER(TRIM(B19)),LOWER(TRIM(F19))),1,0))</f>
        <v/>
      </c>
      <c r="K19" s="17">
        <f>IF(AND(TRIM(C19)="",TRIM(G19)=""),1,IF(EXACT(LOWER(TRIM(C19)),LOWER(TRIM(G19))),1,0))</f>
        <v/>
      </c>
      <c r="L19" s="17">
        <f>IF(AND(TRIM(D19)="",TRIM(H19)=""),1,IF(EXACT(LOWER(TRIM(D19)),LOWER(TRIM(H19))),1,0))</f>
        <v/>
      </c>
      <c r="M19" s="17">
        <f>IF(AND(TRIM(E19)="",TRIM(I19)=""),1,IF(EXACT(LOWER(TRIM(E19)),LOWER(TRIM(I19))),1,0))</f>
        <v/>
      </c>
      <c r="N19" s="17">
        <f>SUM(J19:M19)</f>
        <v/>
      </c>
      <c r="O19" s="18">
        <f>N19/4</f>
        <v/>
      </c>
    </row>
    <row r="20">
      <c r="A20" s="10" t="n">
        <v>17</v>
      </c>
      <c r="B20" s="11" t="inlineStr">
        <is>
          <t>Rashida Ahmed</t>
        </is>
      </c>
      <c r="C20" s="11" t="inlineStr">
        <is>
          <t>rashida.a@dubaiholding.ae</t>
        </is>
      </c>
      <c r="D20" s="11" t="inlineStr">
        <is>
          <t>+971 50 234 5678</t>
        </is>
      </c>
      <c r="E20" s="11" t="inlineStr">
        <is>
          <t>Sheikh Zayed Road, Dubai, UAE</t>
        </is>
      </c>
      <c r="F20" s="12" t="inlineStr"/>
      <c r="G20" s="12" t="inlineStr">
        <is>
          <t>rashida.a@dubaiholding.ae</t>
        </is>
      </c>
      <c r="H20" s="12" t="inlineStr">
        <is>
          <t>+971 50 234 5678</t>
        </is>
      </c>
      <c r="I20" s="12" t="inlineStr">
        <is>
          <t>Sheikh Zayed Road, Dubai, UAE</t>
        </is>
      </c>
      <c r="J20" s="13">
        <f>IF(AND(TRIM(B20)="",TRIM(F20)=""),1,IF(EXACT(LOWER(TRIM(B20)),LOWER(TRIM(F20))),1,0))</f>
        <v/>
      </c>
      <c r="K20" s="13">
        <f>IF(AND(TRIM(C20)="",TRIM(G20)=""),1,IF(EXACT(LOWER(TRIM(C20)),LOWER(TRIM(G20))),1,0))</f>
        <v/>
      </c>
      <c r="L20" s="13">
        <f>IF(AND(TRIM(D20)="",TRIM(H20)=""),1,IF(EXACT(LOWER(TRIM(D20)),LOWER(TRIM(H20))),1,0))</f>
        <v/>
      </c>
      <c r="M20" s="13">
        <f>IF(AND(TRIM(E20)="",TRIM(I20)=""),1,IF(EXACT(LOWER(TRIM(E20)),LOWER(TRIM(I20))),1,0))</f>
        <v/>
      </c>
      <c r="N20" s="13">
        <f>SUM(J20:M20)</f>
        <v/>
      </c>
      <c r="O20" s="14">
        <f>N20/4</f>
        <v/>
      </c>
    </row>
    <row r="21">
      <c r="A21" s="10" t="n">
        <v>18</v>
      </c>
      <c r="B21" s="15" t="inlineStr">
        <is>
          <t>Samuel Gruber</t>
        </is>
      </c>
      <c r="C21" s="15" t="inlineStr">
        <is>
          <t>s.gruber@swissbank.ch</t>
        </is>
      </c>
      <c r="D21" s="15" t="inlineStr">
        <is>
          <t>+41 44 123 45 67</t>
        </is>
      </c>
      <c r="E21" s="15" t="inlineStr">
        <is>
          <t>Bahnhofstrasse 12, 8001 Zurich, Switzerland</t>
        </is>
      </c>
      <c r="F21" s="16" t="inlineStr">
        <is>
          <t>Samuel Gruber</t>
        </is>
      </c>
      <c r="G21" s="16" t="inlineStr">
        <is>
          <t>s.gruber@swissbank.ch</t>
        </is>
      </c>
      <c r="H21" s="16" t="inlineStr">
        <is>
          <t>+41 44 123 45 67</t>
        </is>
      </c>
      <c r="I21" s="16" t="inlineStr">
        <is>
          <t>Bahnhofstrasse 12, 8001 Zurich, Switzerland</t>
        </is>
      </c>
      <c r="J21" s="17">
        <f>IF(AND(TRIM(B21)="",TRIM(F21)=""),1,IF(EXACT(LOWER(TRIM(B21)),LOWER(TRIM(F21))),1,0))</f>
        <v/>
      </c>
      <c r="K21" s="17">
        <f>IF(AND(TRIM(C21)="",TRIM(G21)=""),1,IF(EXACT(LOWER(TRIM(C21)),LOWER(TRIM(G21))),1,0))</f>
        <v/>
      </c>
      <c r="L21" s="17">
        <f>IF(AND(TRIM(D21)="",TRIM(H21)=""),1,IF(EXACT(LOWER(TRIM(D21)),LOWER(TRIM(H21))),1,0))</f>
        <v/>
      </c>
      <c r="M21" s="17">
        <f>IF(AND(TRIM(E21)="",TRIM(I21)=""),1,IF(EXACT(LOWER(TRIM(E21)),LOWER(TRIM(I21))),1,0))</f>
        <v/>
      </c>
      <c r="N21" s="17">
        <f>SUM(J21:M21)</f>
        <v/>
      </c>
      <c r="O21" s="18">
        <f>N21/4</f>
        <v/>
      </c>
    </row>
    <row r="22">
      <c r="A22" s="10" t="n">
        <v>19</v>
      </c>
      <c r="B22" s="11" t="inlineStr">
        <is>
          <t>Tina Papadopoulos</t>
        </is>
      </c>
      <c r="C22" s="11" t="inlineStr">
        <is>
          <t>tina.p@athens.gr</t>
        </is>
      </c>
      <c r="D22" s="11" t="inlineStr">
        <is>
          <t>+30 210 123 4567</t>
        </is>
      </c>
      <c r="E22" s="11" t="inlineStr">
        <is>
          <t>Ermou 25, 105 63 Athens, Greece</t>
        </is>
      </c>
      <c r="F22" s="12" t="inlineStr">
        <is>
          <t>Tina Papadopoulos</t>
        </is>
      </c>
      <c r="G22" s="12" t="inlineStr">
        <is>
          <t>tina.p@athens.gr</t>
        </is>
      </c>
      <c r="H22" s="12" t="inlineStr">
        <is>
          <t>+30 210 123 4567</t>
        </is>
      </c>
      <c r="I22" s="12" t="inlineStr">
        <is>
          <t>Ermou 25, Athens, Greece</t>
        </is>
      </c>
      <c r="J22" s="13">
        <f>IF(AND(TRIM(B22)="",TRIM(F22)=""),1,IF(EXACT(LOWER(TRIM(B22)),LOWER(TRIM(F22))),1,0))</f>
        <v/>
      </c>
      <c r="K22" s="13">
        <f>IF(AND(TRIM(C22)="",TRIM(G22)=""),1,IF(EXACT(LOWER(TRIM(C22)),LOWER(TRIM(G22))),1,0))</f>
        <v/>
      </c>
      <c r="L22" s="13">
        <f>IF(AND(TRIM(D22)="",TRIM(H22)=""),1,IF(EXACT(LOWER(TRIM(D22)),LOWER(TRIM(H22))),1,0))</f>
        <v/>
      </c>
      <c r="M22" s="13">
        <f>IF(AND(TRIM(E22)="",TRIM(I22)=""),1,IF(EXACT(LOWER(TRIM(E22)),LOWER(TRIM(I22))),1,0))</f>
        <v/>
      </c>
      <c r="N22" s="13">
        <f>SUM(J22:M22)</f>
        <v/>
      </c>
      <c r="O22" s="14">
        <f>N22/4</f>
        <v/>
      </c>
    </row>
    <row r="23" ht="14" customHeight="1">
      <c r="A23" s="10" t="n">
        <v>20</v>
      </c>
      <c r="B23" s="15" t="inlineStr">
        <is>
          <t>Umar Farooq</t>
        </is>
      </c>
      <c r="C23" s="15" t="inlineStr">
        <is>
          <t>umar.farooq@lahore.pk</t>
        </is>
      </c>
      <c r="D23" s="15" t="inlineStr">
        <is>
          <t>+92 300 123 4567</t>
        </is>
      </c>
      <c r="E23" s="15" t="inlineStr">
        <is>
          <t>21 Mall Road, Lahore 54000, Pakistan</t>
        </is>
      </c>
      <c r="F23" s="16" t="inlineStr">
        <is>
          <t>Umar Farooq</t>
        </is>
      </c>
      <c r="G23" s="16" t="inlineStr">
        <is>
          <t>umar.farooq@lahore.pk</t>
        </is>
      </c>
      <c r="H23" s="16" t="inlineStr">
        <is>
          <t>+92 300 123 4567</t>
        </is>
      </c>
      <c r="I23" s="16" t="inlineStr">
        <is>
          <t>21 Mall Road, Lahore 54000, Pakistan</t>
        </is>
      </c>
      <c r="J23" s="17">
        <f>IF(AND(TRIM(B23)="",TRIM(F23)=""),1,IF(EXACT(LOWER(TRIM(B23)),LOWER(TRIM(F23))),1,0))</f>
        <v/>
      </c>
      <c r="K23" s="17">
        <f>IF(AND(TRIM(C23)="",TRIM(G23)=""),1,IF(EXACT(LOWER(TRIM(C23)),LOWER(TRIM(G23))),1,0))</f>
        <v/>
      </c>
      <c r="L23" s="17">
        <f>IF(AND(TRIM(D23)="",TRIM(H23)=""),1,IF(EXACT(LOWER(TRIM(D23)),LOWER(TRIM(H23))),1,0))</f>
        <v/>
      </c>
      <c r="M23" s="17">
        <f>IF(AND(TRIM(E23)="",TRIM(I23)=""),1,IF(EXACT(LOWER(TRIM(E23)),LOWER(TRIM(I23))),1,0))</f>
        <v/>
      </c>
      <c r="N23" s="17">
        <f>SUM(J23:M23)</f>
        <v/>
      </c>
      <c r="O23" s="18">
        <f>N23/4</f>
        <v/>
      </c>
    </row>
    <row r="25" ht="22" customHeight="1">
      <c r="A25" s="19" t="inlineStr">
        <is>
          <t>SUMMARY METRICS</t>
        </is>
      </c>
    </row>
    <row r="26" ht="18" customHeight="1">
      <c r="A26" s="20" t="inlineStr">
        <is>
          <t>Total Cards Evaluated</t>
        </is>
      </c>
      <c r="E26" s="21">
        <f>COUNTA(B4:B23)</f>
        <v/>
      </c>
    </row>
    <row r="27" ht="18" customHeight="1">
      <c r="A27" s="20" t="inlineStr">
        <is>
          <t>Name Match Rate</t>
        </is>
      </c>
      <c r="E27" s="22">
        <f>AVERAGE(J4:J23)</f>
        <v/>
      </c>
    </row>
    <row r="28" ht="18" customHeight="1">
      <c r="A28" s="20" t="inlineStr">
        <is>
          <t>Email Match Rate</t>
        </is>
      </c>
      <c r="E28" s="22">
        <f>AVERAGE(K4:K23)</f>
        <v/>
      </c>
    </row>
    <row r="29" ht="18" customHeight="1">
      <c r="A29" s="20" t="inlineStr">
        <is>
          <t>Phone Match Rate</t>
        </is>
      </c>
      <c r="E29" s="22">
        <f>AVERAGE(L4:L23)</f>
        <v/>
      </c>
    </row>
    <row r="30" ht="18" customHeight="1">
      <c r="A30" s="20" t="inlineStr">
        <is>
          <t>Address Match Rate</t>
        </is>
      </c>
      <c r="E30" s="22">
        <f>AVERAGE(M4:M23)</f>
        <v/>
      </c>
    </row>
    <row r="31" ht="18" customHeight="1">
      <c r="A31" s="20" t="inlineStr">
        <is>
          <t>Overall Field Match Rate</t>
        </is>
      </c>
      <c r="E31" s="22">
        <f>AVERAGE(O4:O23)</f>
        <v/>
      </c>
    </row>
    <row r="32" ht="18" customHeight="1">
      <c r="A32" s="20" t="inlineStr">
        <is>
          <t>Cards with All 4 Fields Correct</t>
        </is>
      </c>
      <c r="E32" s="21">
        <f>COUNTIF(N4:N23,4)</f>
        <v/>
      </c>
    </row>
    <row r="33" ht="18" customHeight="1">
      <c r="A33" s="20" t="inlineStr">
        <is>
          <t>Cards with &gt;= 3 Fields Correct</t>
        </is>
      </c>
      <c r="E33" s="21">
        <f>COUNTIFS(N4:N23,"&gt;="&amp;3)</f>
        <v/>
      </c>
    </row>
    <row r="34" ht="18" customHeight="1">
      <c r="A34" s="20" t="inlineStr">
        <is>
          <t>Cards with &lt; 2 Fields Correct</t>
        </is>
      </c>
      <c r="E34" s="21">
        <f>COUNTIF(N4:N23,"&lt;"&amp;2)</f>
        <v/>
      </c>
    </row>
  </sheetData>
  <mergeCells count="14">
    <mergeCell ref="A25:O25"/>
    <mergeCell ref="A27:D27"/>
    <mergeCell ref="A31:D31"/>
    <mergeCell ref="J2:O2"/>
    <mergeCell ref="A34:D34"/>
    <mergeCell ref="F2:I2"/>
    <mergeCell ref="A26:D26"/>
    <mergeCell ref="A30:D30"/>
    <mergeCell ref="A1:O1"/>
    <mergeCell ref="A29:D29"/>
    <mergeCell ref="B2:E2"/>
    <mergeCell ref="A33:D33"/>
    <mergeCell ref="A28:D28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2026-05-30T14:08:33Z</dcterms:created>
  <dcterms:modified xsi:type="dcterms:W3CDTF">2026-05-30T14:08:33Z</dcterms:modified>
</cp:coreProperties>
</file>